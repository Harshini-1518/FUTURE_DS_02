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TS\OneDrive\Desktop\"/>
    </mc:Choice>
  </mc:AlternateContent>
  <bookViews>
    <workbookView xWindow="0" yWindow="0" windowWidth="17256" windowHeight="5532" firstSheet="2" activeTab="6"/>
  </bookViews>
  <sheets>
    <sheet name="Raw Customer Data" sheetId="1" r:id="rId1"/>
    <sheet name="Customer Status Analysis" sheetId="2" r:id="rId2"/>
    <sheet name="Churn Reason Analysis" sheetId="3" r:id="rId3"/>
    <sheet name="Subscription Plan Analysis" sheetId="4" r:id="rId4"/>
    <sheet name="Regional Retention Analysis" sheetId="5" r:id="rId5"/>
    <sheet name="KPI Summary" sheetId="6" r:id="rId6"/>
    <sheet name="Dashboard" sheetId="7" r:id="rId7"/>
  </sheets>
  <calcPr calcId="162913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<sst xmlns="http://schemas.openxmlformats.org/spreadsheetml/2006/main" count="126" uniqueCount="67">
  <si>
    <t>Customer ID</t>
  </si>
  <si>
    <t>Join Date</t>
  </si>
  <si>
    <t>Last Active Date</t>
  </si>
  <si>
    <t>Subscription Plan</t>
  </si>
  <si>
    <t>Region</t>
  </si>
  <si>
    <t>Total Spend</t>
  </si>
  <si>
    <t>Status</t>
  </si>
  <si>
    <t>Churn Reason</t>
  </si>
  <si>
    <t>C001</t>
  </si>
  <si>
    <t>Premium</t>
  </si>
  <si>
    <t>North</t>
  </si>
  <si>
    <t>Active</t>
  </si>
  <si>
    <t>-</t>
  </si>
  <si>
    <t>C002</t>
  </si>
  <si>
    <t>Basic</t>
  </si>
  <si>
    <t>South</t>
  </si>
  <si>
    <t>Churned</t>
  </si>
  <si>
    <t>Price</t>
  </si>
  <si>
    <t>C003</t>
  </si>
  <si>
    <t>East</t>
  </si>
  <si>
    <t>C004</t>
  </si>
  <si>
    <t>West</t>
  </si>
  <si>
    <t>Poor Service</t>
  </si>
  <si>
    <t>C005</t>
  </si>
  <si>
    <t>Standard</t>
  </si>
  <si>
    <t>C006</t>
  </si>
  <si>
    <t>Competitor</t>
  </si>
  <si>
    <t>C007</t>
  </si>
  <si>
    <t>C008</t>
  </si>
  <si>
    <t>C009</t>
  </si>
  <si>
    <t>C010</t>
  </si>
  <si>
    <t>Row Labels</t>
  </si>
  <si>
    <t>Grand Total</t>
  </si>
  <si>
    <t>Count of Customer ID</t>
  </si>
  <si>
    <t>Sum of Total Spend</t>
  </si>
  <si>
    <t>KPI Summary</t>
  </si>
  <si>
    <t>Total Customers</t>
  </si>
  <si>
    <t>Active Customers</t>
  </si>
  <si>
    <t>Churned Customers</t>
  </si>
  <si>
    <t>Retention Rate</t>
  </si>
  <si>
    <t>Churn Rate</t>
  </si>
  <si>
    <t>Top Region</t>
  </si>
  <si>
    <t>Values</t>
  </si>
  <si>
    <t>Customer Retention &amp; Churn Analysis Dashboard</t>
  </si>
  <si>
    <t xml:space="preserve">Customer Status Analysis : </t>
  </si>
  <si>
    <t xml:space="preserve">Churn Reason Analysis : </t>
  </si>
  <si>
    <t>Subscription Plan Analysis :</t>
  </si>
  <si>
    <t>Regional Retention Analysis :</t>
  </si>
  <si>
    <t>Insight:</t>
  </si>
  <si>
    <t>1. Most customers remain active.</t>
  </si>
  <si>
    <t>2. Churned customers account for a smaller portion of the customer base.</t>
  </si>
  <si>
    <t>1. Price is a major reason for customer churn.</t>
  </si>
  <si>
    <t>2. Service quality impacts customer retention.</t>
  </si>
  <si>
    <t>1. Premium plans generate the highest revenue.</t>
  </si>
  <si>
    <t>2. Premium customers contribute significantly to business growth.</t>
  </si>
  <si>
    <t>1. North region has the highest customer count.</t>
  </si>
  <si>
    <t>2. Customer retention varies across regions.</t>
  </si>
  <si>
    <t>1. Customer retention remains strong with a majority of active users.</t>
  </si>
  <si>
    <t>2. Price sensitivity is a key factor influencing churn.</t>
  </si>
  <si>
    <t>3. Premium subscription plans drive the highest revenue.</t>
  </si>
  <si>
    <t>4. North region demonstrates the strongest customer base.</t>
  </si>
  <si>
    <t xml:space="preserve">Overall Findings : </t>
  </si>
  <si>
    <t>1. Introduce loyalty programs to improve retention.</t>
  </si>
  <si>
    <t>2. Offer targeted discounts to reduce price-related churn.</t>
  </si>
  <si>
    <t>3. Enhance customer support and service quality.</t>
  </si>
  <si>
    <t>4. Focus marketing efforts on high-performing regions and plans.</t>
  </si>
  <si>
    <t xml:space="preserve">Recommendations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</si>
</sst>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0" fillId="0" borderId="1" xfId="0" applyBorder="1"/>
    <xf numFmtId="9" fontId="0" fillId="0" borderId="1" xfId="0" applyNumberFormat="1" applyBorder="1"/>
    <xf numFmtId="0" fontId="1" fillId="0" borderId="1" xfId="0" applyFont="1" applyBorder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[FUTURE_DS_02.xlsx]Customer Status Analysis!PivotTable1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Status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29-4CA2-8DF5-7992F8E427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29-4CA2-8DF5-7992F8E427EF}"/>
              </c:ext>
            </c:extLst>
          </c:dPt>
          <c:cat>
            <c:strRef>
              <c:f>'Customer Status Analysis'!$A$4:$A$6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'Customer Status Analysis'!$B$4:$B$6</c:f>
              <c:numCache>
                <c:formatCode>General</c:formatCode>
                <c:ptCount val="2"/>
                <c:pt idx="0">
                  <c:v>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4F-4F29-A686-F4E552E23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[FUTURE_DS_02.xlsx]Churn Reason Analysis!PivotTable2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'Churn Reason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'Churn Reason Analysis'!$A$4:$A$8</c:f>
              <c:strCache>
                <c:ptCount val="4"/>
                <c:pt idx="0">
                  <c:v>-</c:v>
                </c:pt>
                <c:pt idx="1">
                  <c:v>Competitor</c:v>
                </c:pt>
                <c:pt idx="2">
                  <c:v>Poor Service</c:v>
                </c:pt>
                <c:pt idx="3">
                  <c:v>Price</c:v>
                </c:pt>
              </c:strCache>
            </c:strRef>
          </c:cat>
          <c:val>
            <c:numRef>
              <c:f>'Churn Reason Analysis'!$B$4:$B$8</c:f>
              <c:numCache>
                <c:formatCode>General</c:formatCode>
                <c:ptCount val="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6-4082-81F0-65DF5EE95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1143471"/>
        <c:axId val="591138895"/>
        <c:axId val="0"/>
      </c:bar3DChart>
      <c:catAx>
        <c:axId val="591143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138895"/>
        <c:crosses val="autoZero"/>
        <c:auto val="1"/>
        <c:lblAlgn val="ctr"/>
        <c:lblOffset val="100"/>
        <c:noMultiLvlLbl val="0"/>
      </c:catAx>
      <c:valAx>
        <c:axId val="591138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14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[FUTURE_DS_02.xlsx]Subscription Plan Analysis!PivotTable3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'Subscription Plan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'Subscription Plan Analysis'!$A$4:$A$7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'Subscription Plan Analysis'!$B$4:$B$7</c:f>
              <c:numCache>
                <c:formatCode>General</c:formatCode>
                <c:ptCount val="3"/>
                <c:pt idx="0">
                  <c:v>12500</c:v>
                </c:pt>
                <c:pt idx="1">
                  <c:v>75000</c:v>
                </c:pt>
                <c:pt idx="2">
                  <c:v>27500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3-4CB0-81A9-372B5579E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5075103"/>
        <c:axId val="495072607"/>
        <c:axId val="0"/>
      </c:bar3DChart>
      <c:catAx>
        <c:axId val="49507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072607"/>
        <c:crosses val="autoZero"/>
        <c:auto val="1"/>
        <c:lblAlgn val="ctr"/>
        <c:lblOffset val="100"/>
        <c:noMultiLvlLbl val="0"/>
      </c:catAx>
      <c:valAx>
        <c:axId val="49507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07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[FUTURE_DS_02.xlsx]Regional Retention Analysis!PivotTable4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'Regional Retention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'Regional Retention Analysis'!$A$4:$A$8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Retention Analysis'!$B$4:$B$8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D-4B78-A528-73A2C6A81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1140143"/>
        <c:axId val="591140559"/>
        <c:axId val="0"/>
      </c:bar3DChart>
      <c:catAx>
        <c:axId val="591140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140559"/>
        <c:crosses val="autoZero"/>
        <c:auto val="1"/>
        <c:lblAlgn val="ctr"/>
        <c:lblOffset val="100"/>
        <c:noMultiLvlLbl val="0"/>
      </c:catAx>
      <c:valAx>
        <c:axId val="59114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14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[FUTURE_DS_02.xlsx]Customer Status Analysis!PivotTable1</c:name>
    <c:fmtId val="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Status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FE-49CB-99D3-F813F26D2A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FE-49CB-99D3-F813F26D2A87}"/>
              </c:ext>
            </c:extLst>
          </c:dPt>
          <c:cat>
            <c:strRef>
              <c:f>'Customer Status Analysis'!$A$4:$A$6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'Customer Status Analysis'!$B$4:$B$6</c:f>
              <c:numCache>
                <c:formatCode>General</c:formatCode>
                <c:ptCount val="2"/>
                <c:pt idx="0">
                  <c:v>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FE-49CB-99D3-F813F26D2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[FUTURE_DS_02.xlsx]Churn Reason Analysis!PivotTable2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'Churn Reason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'Churn Reason Analysis'!$A$4:$A$8</c:f>
              <c:strCache>
                <c:ptCount val="4"/>
                <c:pt idx="0">
                  <c:v>-</c:v>
                </c:pt>
                <c:pt idx="1">
                  <c:v>Competitor</c:v>
                </c:pt>
                <c:pt idx="2">
                  <c:v>Poor Service</c:v>
                </c:pt>
                <c:pt idx="3">
                  <c:v>Price</c:v>
                </c:pt>
              </c:strCache>
            </c:strRef>
          </c:cat>
          <c:val>
            <c:numRef>
              <c:f>'Churn Reason Analysis'!$B$4:$B$8</c:f>
              <c:numCache>
                <c:formatCode>General</c:formatCode>
                <c:ptCount val="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D-4202-BA08-F6E11135D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1143471"/>
        <c:axId val="591138895"/>
        <c:axId val="0"/>
      </c:bar3DChart>
      <c:catAx>
        <c:axId val="591143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138895"/>
        <c:crosses val="autoZero"/>
        <c:auto val="1"/>
        <c:lblAlgn val="ctr"/>
        <c:lblOffset val="100"/>
        <c:noMultiLvlLbl val="0"/>
      </c:catAx>
      <c:valAx>
        <c:axId val="591138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14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[FUTURE_DS_02.xlsx]Subscription Plan Analysis!PivotTable3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'Subscription Plan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'Subscription Plan Analysis'!$A$4:$A$7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'Subscription Plan Analysis'!$B$4:$B$7</c:f>
              <c:numCache>
                <c:formatCode>General</c:formatCode>
                <c:ptCount val="3"/>
                <c:pt idx="0">
                  <c:v>12500</c:v>
                </c:pt>
                <c:pt idx="1">
                  <c:v>75000</c:v>
                </c:pt>
                <c:pt idx="2">
                  <c:v>27500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1-42A6-A01E-1A56D091C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5075103"/>
        <c:axId val="495072607"/>
        <c:axId val="0"/>
      </c:bar3DChart>
      <c:catAx>
        <c:axId val="49507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072607"/>
        <c:crosses val="autoZero"/>
        <c:auto val="1"/>
        <c:lblAlgn val="ctr"/>
        <c:lblOffset val="100"/>
        <c:noMultiLvlLbl val="0"/>
      </c:catAx>
      <c:valAx>
        <c:axId val="49507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07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[FUTURE_DS_02.xlsx]Regional Retention Analysis!PivotTable4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'Regional Retention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'Regional Retention Analysis'!$A$4:$A$8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Retention Analysis'!$B$4:$B$8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0-43E7-8477-FB9152263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1140143"/>
        <c:axId val="591140559"/>
        <c:axId val="0"/>
      </c:bar3DChart>
      <c:catAx>
        <c:axId val="591140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140559"/>
        <c:crosses val="autoZero"/>
        <c:auto val="1"/>
        <c:lblAlgn val="ctr"/>
        <c:lblOffset val="100"/>
        <c:noMultiLvlLbl val="0"/>
      </c:catAx>
      <c:valAx>
        <c:axId val="59114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14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1</xdr:row>
      <xdr:rowOff>99060</xdr:rowOff>
    </xdr:from>
    <xdr:to>
      <xdr:col>11</xdr:col>
      <xdr:colOff>358140</xdr:colOff>
      <xdr:row>19</xdr:row>
      <xdr:rowOff>91440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</xdr:row>
      <xdr:rowOff>129540</xdr:rowOff>
    </xdr:from>
    <xdr:to>
      <xdr:col>11</xdr:col>
      <xdr:colOff>99060</xdr:colOff>
      <xdr:row>20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87630</xdr:rowOff>
    </xdr:from>
    <xdr:to>
      <xdr:col>11</xdr:col>
      <xdr:colOff>83820</xdr:colOff>
      <xdr:row>19</xdr:row>
      <xdr:rowOff>68580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1</xdr:row>
      <xdr:rowOff>38100</xdr:rowOff>
    </xdr:from>
    <xdr:to>
      <xdr:col>11</xdr:col>
      <xdr:colOff>114300</xdr:colOff>
      <xdr:row>18</xdr:row>
      <xdr:rowOff>53340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7</xdr:col>
      <xdr:colOff>259080</xdr:colOff>
      <xdr:row>29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16</xdr:col>
      <xdr:colOff>304800</xdr:colOff>
      <xdr:row>29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14</xdr:row>
      <xdr:rowOff>0</xdr:rowOff>
    </xdr:from>
    <xdr:to>
      <xdr:col>25</xdr:col>
      <xdr:colOff>304800</xdr:colOff>
      <xdr:row>29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0</xdr:colOff>
      <xdr:row>14</xdr:row>
      <xdr:rowOff>0</xdr:rowOff>
    </xdr:from>
    <xdr:to>
      <xdr:col>34</xdr:col>
      <xdr:colOff>304800</xdr:colOff>
      <xdr:row>28</xdr:row>
      <xdr:rowOff>160020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TS" refreshedDate="46188.495688888892" createdVersion="6" refreshedVersion="6" minRefreshableVersion="3" recordCount="10">
  <cacheSource type="worksheet">
    <worksheetSource name="Table1"/>
  </cacheSource>
  <cacheFields count="8">
    <cacheField name="Customer ID" numFmtId="0">
      <sharedItems/>
    </cacheField>
    <cacheField name="Join Date" numFmtId="14">
      <sharedItems containsSemiMixedTypes="0" containsNonDate="0" containsDate="1" containsString="0" minDate="2025-01-01T00:00:00" maxDate="2025-02-21T00:00:00"/>
    </cacheField>
    <cacheField name="Last Active Date" numFmtId="14">
      <sharedItems containsSemiMixedTypes="0" containsNonDate="0" containsDate="1" containsString="0" minDate="2025-12-05T00:00:00" maxDate="2026-03-29T00:00:00"/>
    </cacheField>
    <cacheField name="Subscription Plan" numFmtId="0">
      <sharedItems count="3">
        <s v="Premium"/>
        <s v="Basic"/>
        <s v="Standard"/>
      </sharedItems>
    </cacheField>
    <cacheField name="Region" numFmtId="0">
      <sharedItems count="4">
        <s v="North"/>
        <s v="South"/>
        <s v="East"/>
        <s v="West"/>
      </sharedItems>
    </cacheField>
    <cacheField name="Total Spend" numFmtId="0">
      <sharedItems containsSemiMixedTypes="0" containsString="0" containsNumber="1" containsInteger="1" minValue="3500" maxValue="22000"/>
    </cacheField>
    <cacheField name="Status" numFmtId="0">
      <sharedItems count="2">
        <s v="Active"/>
        <s v="Churned"/>
      </sharedItems>
    </cacheField>
    <cacheField name="Churn Reason" numFmtId="0">
      <sharedItems count="4">
        <s v="-"/>
        <s v="Price"/>
        <s v="Poor Service"/>
        <s v="Competit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s v="C001"/>
    <d v="2025-01-01T00:00:00"/>
    <d v="2026-03-15T00:00:00"/>
    <x v="0"/>
    <x v="0"/>
    <n v="15000"/>
    <x v="0"/>
    <x v="0"/>
  </r>
  <r>
    <s v="C002"/>
    <d v="2025-01-05T00:00:00"/>
    <d v="2026-01-10T00:00:00"/>
    <x v="1"/>
    <x v="1"/>
    <n v="5000"/>
    <x v="1"/>
    <x v="1"/>
  </r>
  <r>
    <s v="C003"/>
    <d v="2025-01-10T00:00:00"/>
    <d v="2026-03-20T00:00:00"/>
    <x v="0"/>
    <x v="2"/>
    <n v="18000"/>
    <x v="0"/>
    <x v="0"/>
  </r>
  <r>
    <s v="C004"/>
    <d v="2025-01-15T00:00:00"/>
    <d v="2025-12-05T00:00:00"/>
    <x v="1"/>
    <x v="3"/>
    <n v="4000"/>
    <x v="1"/>
    <x v="2"/>
  </r>
  <r>
    <s v="C005"/>
    <d v="2025-01-20T00:00:00"/>
    <d v="2026-03-18T00:00:00"/>
    <x v="2"/>
    <x v="0"/>
    <n v="9000"/>
    <x v="0"/>
    <x v="0"/>
  </r>
  <r>
    <s v="C006"/>
    <d v="2025-01-25T00:00:00"/>
    <d v="2026-02-25T00:00:00"/>
    <x v="2"/>
    <x v="1"/>
    <n v="7500"/>
    <x v="1"/>
    <x v="3"/>
  </r>
  <r>
    <s v="C007"/>
    <d v="2025-02-01T00:00:00"/>
    <d v="2026-03-22T00:00:00"/>
    <x v="0"/>
    <x v="2"/>
    <n v="20000"/>
    <x v="0"/>
    <x v="0"/>
  </r>
  <r>
    <s v="C008"/>
    <d v="2025-02-10T00:00:00"/>
    <d v="2026-01-15T00:00:00"/>
    <x v="1"/>
    <x v="3"/>
    <n v="3500"/>
    <x v="1"/>
    <x v="1"/>
  </r>
  <r>
    <s v="C009"/>
    <d v="2025-02-15T00:00:00"/>
    <d v="2026-03-25T00:00:00"/>
    <x v="2"/>
    <x v="0"/>
    <n v="11000"/>
    <x v="0"/>
    <x v="0"/>
  </r>
  <r>
    <s v="C010"/>
    <d v="2025-02-20T00:00:00"/>
    <d v="2026-03-28T00:00:00"/>
    <x v="0"/>
    <x v="1"/>
    <n v="2200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6" firstHeaderRow="1" firstDataRow="1" firstDataCol="1"/>
  <pivotFields count="8">
    <pivotField dataField="1" showAll="0"/>
    <pivotField numFmtId="14" showAll="0"/>
    <pivotField numFmtId="14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Customer ID" fld="0" subtotal="count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8" firstHeaderRow="1" firstDataRow="1" firstDataCol="1"/>
  <pivotFields count="8">
    <pivotField dataField="1"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7" firstHeaderRow="1" firstDataRow="1" firstDataCol="1"/>
  <pivotFields count="8">
    <pivotField showAll="0"/>
    <pivotField numFmtId="14" showAll="0"/>
    <pivotField numFmtId="14"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pend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8" firstHeaderRow="1" firstDataRow="1" firstDataCol="1"/>
  <pivotFields count="8">
    <pivotField dataField="1" showAll="0"/>
    <pivotField numFmtId="14" showAll="0"/>
    <pivotField numFmtId="14"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H11" totalsRowShown="0" headerRowDxfId="9" dataDxfId="8">
  <autoFilter ref="A1:H11"/>
  <tableColumns count="8">
    <tableColumn id="1" name="Customer ID" dataDxfId="7"/>
    <tableColumn id="2" name="Join Date" dataDxfId="6"/>
    <tableColumn id="3" name="Last Active Date" dataDxfId="5"/>
    <tableColumn id="4" name="Subscription Plan" dataDxfId="4"/>
    <tableColumn id="5" name="Region" dataDxfId="3"/>
    <tableColumn id="6" name="Total Spend" dataDxfId="2"/>
    <tableColumn id="7" name="Status" dataDxfId="1"/>
    <tableColumn id="8" name="Churn Reas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="156" workbookViewId="0">
      <selection activeCell="C6" sqref="C6"/>
    </sheetView>
  </sheetViews>
  <sheetFormatPr defaultRowHeight="14.4" x14ac:dyDescent="0.3"/>
  <cols>
    <col min="1" max="1" width="13.21875" customWidth="1"/>
    <col min="2" max="2" width="15.5546875" customWidth="1"/>
    <col min="3" max="3" width="16.21875" customWidth="1"/>
    <col min="4" max="4" width="17.44140625" customWidth="1"/>
    <col min="5" max="5" width="11.109375" customWidth="1"/>
    <col min="6" max="6" width="12.88671875" customWidth="1"/>
    <col min="7" max="7" width="13" customWidth="1"/>
    <col min="8" max="8" width="14.5546875" customWidth="1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>
        <v>45658</v>
      </c>
      <c r="C2" s="3">
        <v>46096</v>
      </c>
      <c r="D2" s="2" t="s">
        <v>9</v>
      </c>
      <c r="E2" s="2" t="s">
        <v>10</v>
      </c>
      <c r="F2" s="2">
        <v>15000</v>
      </c>
      <c r="G2" s="2" t="s">
        <v>11</v>
      </c>
      <c r="H2" s="2" t="s">
        <v>12</v>
      </c>
    </row>
    <row r="3" spans="1:8" x14ac:dyDescent="0.3">
      <c r="A3" s="2" t="s">
        <v>13</v>
      </c>
      <c r="B3" s="3">
        <v>45662</v>
      </c>
      <c r="C3" s="3">
        <v>46032</v>
      </c>
      <c r="D3" s="2" t="s">
        <v>14</v>
      </c>
      <c r="E3" s="2" t="s">
        <v>15</v>
      </c>
      <c r="F3" s="2">
        <v>5000</v>
      </c>
      <c r="G3" s="2" t="s">
        <v>16</v>
      </c>
      <c r="H3" s="2" t="s">
        <v>17</v>
      </c>
    </row>
    <row r="4" spans="1:8" x14ac:dyDescent="0.3">
      <c r="A4" s="2" t="s">
        <v>18</v>
      </c>
      <c r="B4" s="3">
        <v>45667</v>
      </c>
      <c r="C4" s="3">
        <v>46101</v>
      </c>
      <c r="D4" s="2" t="s">
        <v>9</v>
      </c>
      <c r="E4" s="2" t="s">
        <v>19</v>
      </c>
      <c r="F4" s="2">
        <v>18000</v>
      </c>
      <c r="G4" s="2" t="s">
        <v>11</v>
      </c>
      <c r="H4" s="2" t="s">
        <v>12</v>
      </c>
    </row>
    <row r="5" spans="1:8" ht="28.8" x14ac:dyDescent="0.3">
      <c r="A5" s="2" t="s">
        <v>20</v>
      </c>
      <c r="B5" s="3">
        <v>45672</v>
      </c>
      <c r="C5" s="3">
        <v>45996</v>
      </c>
      <c r="D5" s="2" t="s">
        <v>14</v>
      </c>
      <c r="E5" s="2" t="s">
        <v>21</v>
      </c>
      <c r="F5" s="2">
        <v>4000</v>
      </c>
      <c r="G5" s="2" t="s">
        <v>16</v>
      </c>
      <c r="H5" s="2" t="s">
        <v>22</v>
      </c>
    </row>
    <row r="6" spans="1:8" x14ac:dyDescent="0.3">
      <c r="A6" s="2" t="s">
        <v>23</v>
      </c>
      <c r="B6" s="3">
        <v>45677</v>
      </c>
      <c r="C6" s="3">
        <v>46099</v>
      </c>
      <c r="D6" s="2" t="s">
        <v>24</v>
      </c>
      <c r="E6" s="2" t="s">
        <v>10</v>
      </c>
      <c r="F6" s="2">
        <v>9000</v>
      </c>
      <c r="G6" s="2" t="s">
        <v>11</v>
      </c>
      <c r="H6" s="2" t="s">
        <v>12</v>
      </c>
    </row>
    <row r="7" spans="1:8" ht="28.8" x14ac:dyDescent="0.3">
      <c r="A7" s="2" t="s">
        <v>25</v>
      </c>
      <c r="B7" s="3">
        <v>45682</v>
      </c>
      <c r="C7" s="3">
        <v>46078</v>
      </c>
      <c r="D7" s="2" t="s">
        <v>24</v>
      </c>
      <c r="E7" s="2" t="s">
        <v>15</v>
      </c>
      <c r="F7" s="2">
        <v>7500</v>
      </c>
      <c r="G7" s="2" t="s">
        <v>16</v>
      </c>
      <c r="H7" s="2" t="s">
        <v>26</v>
      </c>
    </row>
    <row r="8" spans="1:8" x14ac:dyDescent="0.3">
      <c r="A8" s="2" t="s">
        <v>27</v>
      </c>
      <c r="B8" s="3">
        <v>45689</v>
      </c>
      <c r="C8" s="3">
        <v>46103</v>
      </c>
      <c r="D8" s="2" t="s">
        <v>9</v>
      </c>
      <c r="E8" s="2" t="s">
        <v>19</v>
      </c>
      <c r="F8" s="2">
        <v>20000</v>
      </c>
      <c r="G8" s="2" t="s">
        <v>11</v>
      </c>
      <c r="H8" s="2" t="s">
        <v>12</v>
      </c>
    </row>
    <row r="9" spans="1:8" x14ac:dyDescent="0.3">
      <c r="A9" s="2" t="s">
        <v>28</v>
      </c>
      <c r="B9" s="3">
        <v>45698</v>
      </c>
      <c r="C9" s="3">
        <v>46037</v>
      </c>
      <c r="D9" s="2" t="s">
        <v>14</v>
      </c>
      <c r="E9" s="2" t="s">
        <v>21</v>
      </c>
      <c r="F9" s="2">
        <v>3500</v>
      </c>
      <c r="G9" s="2" t="s">
        <v>16</v>
      </c>
      <c r="H9" s="2" t="s">
        <v>17</v>
      </c>
    </row>
    <row r="10" spans="1:8" x14ac:dyDescent="0.3">
      <c r="A10" s="2" t="s">
        <v>29</v>
      </c>
      <c r="B10" s="3">
        <v>45703</v>
      </c>
      <c r="C10" s="3">
        <v>46106</v>
      </c>
      <c r="D10" s="2" t="s">
        <v>24</v>
      </c>
      <c r="E10" s="2" t="s">
        <v>10</v>
      </c>
      <c r="F10" s="2">
        <v>11000</v>
      </c>
      <c r="G10" s="2" t="s">
        <v>11</v>
      </c>
      <c r="H10" s="2" t="s">
        <v>12</v>
      </c>
    </row>
    <row r="11" spans="1:8" x14ac:dyDescent="0.3">
      <c r="A11" s="2" t="s">
        <v>30</v>
      </c>
      <c r="B11" s="3">
        <v>45708</v>
      </c>
      <c r="C11" s="3">
        <v>46109</v>
      </c>
      <c r="D11" s="2" t="s">
        <v>9</v>
      </c>
      <c r="E11" s="2" t="s">
        <v>15</v>
      </c>
      <c r="F11" s="2">
        <v>22000</v>
      </c>
      <c r="G11" s="2" t="s">
        <v>11</v>
      </c>
      <c r="H11" s="2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zoomScale="147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9.33203125" bestFit="1" customWidth="1"/>
  </cols>
  <sheetData>
    <row r="3" spans="1:2" x14ac:dyDescent="0.3">
      <c r="A3" s="4" t="s">
        <v>31</v>
      </c>
      <c r="B3" t="s">
        <v>33</v>
      </c>
    </row>
    <row r="4" spans="1:2" x14ac:dyDescent="0.3">
      <c r="A4" s="5" t="s">
        <v>11</v>
      </c>
      <c r="B4" s="6">
        <v>6</v>
      </c>
    </row>
    <row r="5" spans="1:2" x14ac:dyDescent="0.3">
      <c r="A5" s="5" t="s">
        <v>16</v>
      </c>
      <c r="B5" s="6">
        <v>4</v>
      </c>
    </row>
    <row r="6" spans="1:2" x14ac:dyDescent="0.3">
      <c r="A6" s="5" t="s">
        <v>32</v>
      </c>
      <c r="B6" s="6">
        <v>10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32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9.33203125" bestFit="1" customWidth="1"/>
  </cols>
  <sheetData>
    <row r="3" spans="1:2" x14ac:dyDescent="0.3">
      <c r="A3" s="4" t="s">
        <v>31</v>
      </c>
      <c r="B3" t="s">
        <v>33</v>
      </c>
    </row>
    <row r="4" spans="1:2" x14ac:dyDescent="0.3">
      <c r="A4" s="5" t="s">
        <v>12</v>
      </c>
      <c r="B4" s="6">
        <v>6</v>
      </c>
    </row>
    <row r="5" spans="1:2" x14ac:dyDescent="0.3">
      <c r="A5" s="5" t="s">
        <v>26</v>
      </c>
      <c r="B5" s="6">
        <v>1</v>
      </c>
    </row>
    <row r="6" spans="1:2" x14ac:dyDescent="0.3">
      <c r="A6" s="5" t="s">
        <v>22</v>
      </c>
      <c r="B6" s="6">
        <v>1</v>
      </c>
    </row>
    <row r="7" spans="1:2" x14ac:dyDescent="0.3">
      <c r="A7" s="5" t="s">
        <v>17</v>
      </c>
      <c r="B7" s="6">
        <v>2</v>
      </c>
    </row>
    <row r="8" spans="1:2" x14ac:dyDescent="0.3">
      <c r="A8" s="5" t="s">
        <v>32</v>
      </c>
      <c r="B8" s="6">
        <v>10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zoomScale="143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7.6640625" bestFit="1" customWidth="1"/>
  </cols>
  <sheetData>
    <row r="3" spans="1:2" x14ac:dyDescent="0.3">
      <c r="A3" s="4" t="s">
        <v>31</v>
      </c>
      <c r="B3" t="s">
        <v>34</v>
      </c>
    </row>
    <row r="4" spans="1:2" x14ac:dyDescent="0.3">
      <c r="A4" s="5" t="s">
        <v>14</v>
      </c>
      <c r="B4" s="6">
        <v>12500</v>
      </c>
    </row>
    <row r="5" spans="1:2" x14ac:dyDescent="0.3">
      <c r="A5" s="5" t="s">
        <v>9</v>
      </c>
      <c r="B5" s="6">
        <v>75000</v>
      </c>
    </row>
    <row r="6" spans="1:2" x14ac:dyDescent="0.3">
      <c r="A6" s="5" t="s">
        <v>24</v>
      </c>
      <c r="B6" s="6">
        <v>27500</v>
      </c>
    </row>
    <row r="7" spans="1:2" x14ac:dyDescent="0.3">
      <c r="A7" s="5" t="s">
        <v>32</v>
      </c>
      <c r="B7" s="6">
        <v>115000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36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9.33203125" bestFit="1" customWidth="1"/>
  </cols>
  <sheetData>
    <row r="3" spans="1:2" x14ac:dyDescent="0.3">
      <c r="A3" s="4" t="s">
        <v>31</v>
      </c>
      <c r="B3" t="s">
        <v>33</v>
      </c>
    </row>
    <row r="4" spans="1:2" x14ac:dyDescent="0.3">
      <c r="A4" s="5" t="s">
        <v>19</v>
      </c>
      <c r="B4" s="6">
        <v>2</v>
      </c>
    </row>
    <row r="5" spans="1:2" x14ac:dyDescent="0.3">
      <c r="A5" s="5" t="s">
        <v>10</v>
      </c>
      <c r="B5" s="6">
        <v>3</v>
      </c>
    </row>
    <row r="6" spans="1:2" x14ac:dyDescent="0.3">
      <c r="A6" s="5" t="s">
        <v>15</v>
      </c>
      <c r="B6" s="6">
        <v>3</v>
      </c>
    </row>
    <row r="7" spans="1:2" x14ac:dyDescent="0.3">
      <c r="A7" s="5" t="s">
        <v>21</v>
      </c>
      <c r="B7" s="6">
        <v>2</v>
      </c>
    </row>
    <row r="8" spans="1:2" x14ac:dyDescent="0.3">
      <c r="A8" s="5" t="s">
        <v>32</v>
      </c>
      <c r="B8" s="6">
        <v>10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="169" workbookViewId="0">
      <selection activeCell="H7" sqref="H7"/>
    </sheetView>
  </sheetViews>
  <sheetFormatPr defaultRowHeight="14.4" x14ac:dyDescent="0.3"/>
  <cols>
    <col min="1" max="1" width="20.44140625" customWidth="1"/>
    <col min="2" max="2" width="12" customWidth="1"/>
  </cols>
  <sheetData>
    <row r="1" spans="1:2" x14ac:dyDescent="0.3">
      <c r="A1" s="10" t="s">
        <v>35</v>
      </c>
      <c r="B1" s="10" t="s">
        <v>42</v>
      </c>
    </row>
    <row r="2" spans="1:2" x14ac:dyDescent="0.3">
      <c r="A2" s="8"/>
      <c r="B2" s="8"/>
    </row>
    <row r="3" spans="1:2" x14ac:dyDescent="0.3">
      <c r="A3" s="8" t="s">
        <v>36</v>
      </c>
      <c r="B3" s="8">
        <v>10</v>
      </c>
    </row>
    <row r="4" spans="1:2" x14ac:dyDescent="0.3">
      <c r="A4" s="8" t="s">
        <v>37</v>
      </c>
      <c r="B4" s="8">
        <v>6</v>
      </c>
    </row>
    <row r="5" spans="1:2" x14ac:dyDescent="0.3">
      <c r="A5" s="8" t="s">
        <v>38</v>
      </c>
      <c r="B5" s="8">
        <v>4</v>
      </c>
    </row>
    <row r="6" spans="1:2" x14ac:dyDescent="0.3">
      <c r="A6" s="8" t="s">
        <v>39</v>
      </c>
      <c r="B6" s="9">
        <v>0.6</v>
      </c>
    </row>
    <row r="7" spans="1:2" x14ac:dyDescent="0.3">
      <c r="A7" s="8" t="s">
        <v>40</v>
      </c>
      <c r="B7" s="9">
        <v>0.4</v>
      </c>
    </row>
    <row r="8" spans="1:2" x14ac:dyDescent="0.3">
      <c r="A8" s="8" t="s">
        <v>41</v>
      </c>
      <c r="B8" s="8" t="s">
        <v>10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3"/>
  <sheetViews>
    <sheetView tabSelected="1" topLeftCell="A37" zoomScale="128" zoomScaleNormal="100" workbookViewId="0">
      <selection activeCell="H1" sqref="H1"/>
    </sheetView>
  </sheetViews>
  <sheetFormatPr defaultRowHeight="14.4" x14ac:dyDescent="0.3"/>
  <cols>
    <col min="3" max="3" width="18.44140625" customWidth="1"/>
  </cols>
  <sheetData>
    <row r="1" spans="1:31" ht="28.2" customHeight="1" x14ac:dyDescent="0.4">
      <c r="A1" s="14" t="s">
        <v>43</v>
      </c>
      <c r="B1" s="14"/>
      <c r="C1" s="14"/>
      <c r="D1" s="14"/>
      <c r="E1" s="14"/>
      <c r="F1" s="14"/>
    </row>
    <row r="5" spans="1:31" x14ac:dyDescent="0.3">
      <c r="C5" s="8" t="s">
        <v>36</v>
      </c>
      <c r="D5" s="8">
        <v>10</v>
      </c>
    </row>
    <row r="6" spans="1:31" x14ac:dyDescent="0.3">
      <c r="C6" s="8" t="s">
        <v>37</v>
      </c>
      <c r="D6" s="8">
        <v>6</v>
      </c>
    </row>
    <row r="7" spans="1:31" x14ac:dyDescent="0.3">
      <c r="C7" s="8" t="s">
        <v>38</v>
      </c>
      <c r="D7" s="8">
        <v>4</v>
      </c>
    </row>
    <row r="8" spans="1:31" x14ac:dyDescent="0.3">
      <c r="C8" s="8" t="s">
        <v>39</v>
      </c>
      <c r="D8" s="9">
        <v>0.6</v>
      </c>
    </row>
    <row r="9" spans="1:31" x14ac:dyDescent="0.3">
      <c r="C9" s="8" t="s">
        <v>40</v>
      </c>
      <c r="D9" s="9">
        <v>0.4</v>
      </c>
    </row>
    <row r="10" spans="1:31" x14ac:dyDescent="0.3">
      <c r="C10" s="8" t="s">
        <v>41</v>
      </c>
      <c r="D10" s="8" t="s">
        <v>10</v>
      </c>
    </row>
    <row r="13" spans="1:31" ht="18" x14ac:dyDescent="0.35">
      <c r="B13" s="16" t="s">
        <v>44</v>
      </c>
      <c r="C13" s="16"/>
      <c r="D13" s="16"/>
      <c r="J13" s="16" t="s">
        <v>45</v>
      </c>
      <c r="K13" s="16"/>
      <c r="L13" s="16"/>
      <c r="M13" s="16"/>
      <c r="S13" s="16" t="s">
        <v>46</v>
      </c>
      <c r="T13" s="16"/>
      <c r="U13" s="16"/>
      <c r="V13" s="16"/>
      <c r="AB13" s="16" t="s">
        <v>47</v>
      </c>
      <c r="AC13" s="16"/>
      <c r="AD13" s="16"/>
      <c r="AE13" s="16"/>
    </row>
    <row r="32" spans="2:29" x14ac:dyDescent="0.3">
      <c r="B32" s="7"/>
      <c r="C32" s="7" t="s">
        <v>48</v>
      </c>
      <c r="J32" s="7"/>
      <c r="K32" s="7" t="s">
        <v>48</v>
      </c>
      <c r="S32" s="7"/>
      <c r="T32" s="7" t="s">
        <v>48</v>
      </c>
      <c r="AC32" s="7" t="s">
        <v>48</v>
      </c>
    </row>
    <row r="33" spans="2:29" x14ac:dyDescent="0.3">
      <c r="B33" s="11"/>
      <c r="C33" s="11"/>
      <c r="J33" s="11"/>
      <c r="K33" s="11"/>
      <c r="S33" s="11"/>
      <c r="T33" s="11"/>
      <c r="AC33" s="11"/>
    </row>
    <row r="34" spans="2:29" x14ac:dyDescent="0.3">
      <c r="B34" s="11"/>
      <c r="C34" s="15" t="s">
        <v>49</v>
      </c>
      <c r="D34" s="15"/>
      <c r="E34" s="15"/>
      <c r="J34" s="11"/>
      <c r="K34" s="15" t="s">
        <v>51</v>
      </c>
      <c r="L34" s="15"/>
      <c r="M34" s="15"/>
      <c r="N34" s="15"/>
      <c r="O34" s="15"/>
      <c r="S34" s="11"/>
      <c r="T34" s="15" t="s">
        <v>53</v>
      </c>
      <c r="U34" s="15"/>
      <c r="V34" s="15"/>
      <c r="W34" s="15"/>
      <c r="X34" s="15"/>
      <c r="AC34" s="11" t="s">
        <v>55</v>
      </c>
    </row>
    <row r="35" spans="2:29" x14ac:dyDescent="0.3">
      <c r="B35" s="11"/>
      <c r="C35" s="15" t="s">
        <v>50</v>
      </c>
      <c r="D35" s="15"/>
      <c r="E35" s="15"/>
      <c r="F35" s="15"/>
      <c r="G35" s="15"/>
      <c r="H35" s="15"/>
      <c r="J35" s="11"/>
      <c r="K35" s="11" t="s">
        <v>52</v>
      </c>
      <c r="S35" s="11"/>
      <c r="T35" s="11" t="s">
        <v>54</v>
      </c>
      <c r="AC35" s="11" t="s">
        <v>56</v>
      </c>
    </row>
    <row r="37" spans="2:29" ht="15.6" x14ac:dyDescent="0.3">
      <c r="S37" s="12"/>
    </row>
    <row r="40" spans="2:29" ht="18" x14ac:dyDescent="0.3">
      <c r="B40" s="13" t="s">
        <v>61</v>
      </c>
    </row>
    <row r="41" spans="2:29" x14ac:dyDescent="0.3">
      <c r="B41" s="11"/>
    </row>
    <row r="42" spans="2:29" x14ac:dyDescent="0.3">
      <c r="C42" s="15" t="s">
        <v>57</v>
      </c>
      <c r="D42" s="15"/>
      <c r="E42" s="15"/>
      <c r="F42" s="15"/>
      <c r="G42" s="15"/>
      <c r="H42" s="15"/>
    </row>
    <row r="43" spans="2:29" x14ac:dyDescent="0.3">
      <c r="C43" s="15" t="s">
        <v>58</v>
      </c>
      <c r="D43" s="15"/>
      <c r="E43" s="15"/>
      <c r="F43" s="15"/>
    </row>
    <row r="44" spans="2:29" x14ac:dyDescent="0.3">
      <c r="C44" s="15" t="s">
        <v>59</v>
      </c>
      <c r="D44" s="15"/>
      <c r="E44" s="15"/>
      <c r="F44" s="15"/>
      <c r="G44" s="15"/>
    </row>
    <row r="45" spans="2:29" x14ac:dyDescent="0.3">
      <c r="C45" s="15" t="s">
        <v>60</v>
      </c>
      <c r="D45" s="15"/>
      <c r="E45" s="15"/>
      <c r="F45" s="15"/>
      <c r="G45" s="15"/>
    </row>
    <row r="48" spans="2:29" ht="18" x14ac:dyDescent="0.3">
      <c r="B48" s="13" t="s">
        <v>66</v>
      </c>
    </row>
    <row r="49" spans="2:7" x14ac:dyDescent="0.3">
      <c r="B49" s="11"/>
    </row>
    <row r="50" spans="2:7" x14ac:dyDescent="0.3">
      <c r="C50" s="15" t="s">
        <v>62</v>
      </c>
      <c r="D50" s="15"/>
      <c r="E50" s="15"/>
      <c r="F50" s="15"/>
    </row>
    <row r="51" spans="2:7" x14ac:dyDescent="0.3">
      <c r="C51" s="15" t="s">
        <v>63</v>
      </c>
      <c r="D51" s="15"/>
      <c r="E51" s="15"/>
      <c r="F51" s="15"/>
      <c r="G51" s="15"/>
    </row>
    <row r="52" spans="2:7" x14ac:dyDescent="0.3">
      <c r="C52" s="15" t="s">
        <v>64</v>
      </c>
      <c r="D52" s="15"/>
      <c r="E52" s="15"/>
      <c r="F52" s="15"/>
    </row>
    <row r="53" spans="2:7" x14ac:dyDescent="0.3">
      <c r="C53" s="15" t="s">
        <v>65</v>
      </c>
      <c r="D53" s="15"/>
      <c r="E53" s="15"/>
      <c r="F53" s="15"/>
      <c r="G53" s="15"/>
    </row>
  </sheetData>
  <mergeCells count="16">
    <mergeCell ref="AB13:AE13"/>
    <mergeCell ref="C34:E34"/>
    <mergeCell ref="C35:H35"/>
    <mergeCell ref="K34:O34"/>
    <mergeCell ref="T34:X34"/>
    <mergeCell ref="B13:D13"/>
    <mergeCell ref="J13:M13"/>
    <mergeCell ref="S13:V13"/>
    <mergeCell ref="C52:F52"/>
    <mergeCell ref="C53:G53"/>
    <mergeCell ref="C43:F43"/>
    <mergeCell ref="C42:H42"/>
    <mergeCell ref="C44:G44"/>
    <mergeCell ref="C45:G45"/>
    <mergeCell ref="C50:F50"/>
    <mergeCell ref="C51:G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Customer Data</vt:lpstr>
      <vt:lpstr>Customer Status Analysis</vt:lpstr>
      <vt:lpstr>Churn Reason Analysis</vt:lpstr>
      <vt:lpstr>Subscription Plan Analysis</vt:lpstr>
      <vt:lpstr>Regional Retention Analysis</vt:lpstr>
      <vt:lpstr>KPI 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ATS</dc:creator>
  <cp:lastModifiedBy>ATS</cp:lastModifiedBy>
  <dcterms:created xsi:type="dcterms:W3CDTF">2026-06-15T06:22:17Z</dcterms:created>
  <dcterms:modified xsi:type="dcterms:W3CDTF">2026-06-18T05:48:15Z</dcterms:modified>
</cp:coreProperties>
</file>